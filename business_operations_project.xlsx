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86eb1fa26c33200/Desktop/Github_Projects/excel/"/>
    </mc:Choice>
  </mc:AlternateContent>
  <xr:revisionPtr revIDLastSave="0" documentId="8_{95A16863-DC38-49D1-A86B-A7F34FA78F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3" r:id="rId1"/>
    <sheet name="Sales Analysis" sheetId="16" r:id="rId2"/>
    <sheet name="Sales Report" sheetId="14" r:id="rId3"/>
    <sheet name="Invoice" sheetId="15" r:id="rId4"/>
    <sheet name="Payroll Summary" sheetId="17" r:id="rId5"/>
    <sheet name="Payroll Details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3" l="1"/>
  <c r="F10" i="13"/>
  <c r="G8" i="18"/>
  <c r="H8" i="18" s="1"/>
  <c r="G9" i="18"/>
  <c r="H9" i="18" s="1"/>
  <c r="G10" i="18"/>
  <c r="G11" i="18"/>
  <c r="G12" i="18"/>
  <c r="H12" i="18" s="1"/>
  <c r="G13" i="18"/>
  <c r="H13" i="18" s="1"/>
  <c r="G14" i="18"/>
  <c r="G15" i="18"/>
  <c r="G16" i="18"/>
  <c r="H10" i="18"/>
  <c r="H11" i="18"/>
  <c r="H14" i="18"/>
  <c r="H15" i="18"/>
  <c r="H16" i="18"/>
  <c r="I8" i="18"/>
  <c r="I9" i="18"/>
  <c r="I10" i="18"/>
  <c r="I11" i="18"/>
  <c r="I12" i="18"/>
  <c r="I13" i="18"/>
  <c r="I14" i="18"/>
  <c r="I15" i="18"/>
  <c r="K15" i="18" s="1"/>
  <c r="L15" i="18" s="1"/>
  <c r="M15" i="18" s="1"/>
  <c r="I16" i="18"/>
  <c r="J8" i="18"/>
  <c r="J9" i="18"/>
  <c r="K9" i="18" s="1"/>
  <c r="L9" i="18" s="1"/>
  <c r="M9" i="18" s="1"/>
  <c r="J10" i="18"/>
  <c r="J11" i="18"/>
  <c r="J12" i="18"/>
  <c r="J13" i="18"/>
  <c r="J14" i="18"/>
  <c r="J15" i="18"/>
  <c r="J16" i="18"/>
  <c r="K10" i="18"/>
  <c r="K11" i="18"/>
  <c r="L11" i="18" s="1"/>
  <c r="M11" i="18" s="1"/>
  <c r="K12" i="18"/>
  <c r="L12" i="18" s="1"/>
  <c r="M12" i="18" s="1"/>
  <c r="K14" i="18"/>
  <c r="L14" i="18" s="1"/>
  <c r="M14" i="18" s="1"/>
  <c r="K16" i="18"/>
  <c r="L16" i="18" s="1"/>
  <c r="M16" i="18" s="1"/>
  <c r="L10" i="18"/>
  <c r="M10" i="18" s="1"/>
  <c r="E8" i="18"/>
  <c r="E9" i="18"/>
  <c r="E10" i="18"/>
  <c r="E11" i="18"/>
  <c r="E12" i="18"/>
  <c r="E13" i="18"/>
  <c r="E14" i="18"/>
  <c r="E15" i="18"/>
  <c r="E16" i="18"/>
  <c r="M7" i="18"/>
  <c r="L7" i="18"/>
  <c r="K7" i="18"/>
  <c r="I7" i="18"/>
  <c r="J7" i="18"/>
  <c r="H7" i="18"/>
  <c r="G7" i="18"/>
  <c r="E7" i="18"/>
  <c r="I6" i="17"/>
  <c r="I7" i="17"/>
  <c r="I8" i="17"/>
  <c r="I9" i="17"/>
  <c r="I10" i="17"/>
  <c r="I11" i="17"/>
  <c r="I12" i="17"/>
  <c r="I13" i="17"/>
  <c r="H6" i="17"/>
  <c r="H7" i="17"/>
  <c r="H8" i="17"/>
  <c r="H9" i="17"/>
  <c r="H10" i="17"/>
  <c r="H11" i="17"/>
  <c r="H12" i="17"/>
  <c r="H13" i="17"/>
  <c r="G6" i="17"/>
  <c r="G7" i="17"/>
  <c r="G8" i="17"/>
  <c r="G9" i="17"/>
  <c r="G10" i="17"/>
  <c r="G11" i="17"/>
  <c r="G12" i="17"/>
  <c r="G13" i="17"/>
  <c r="F6" i="17"/>
  <c r="F7" i="17"/>
  <c r="F8" i="17"/>
  <c r="F9" i="17"/>
  <c r="F10" i="17"/>
  <c r="F11" i="17"/>
  <c r="F12" i="17"/>
  <c r="F13" i="17"/>
  <c r="E6" i="17"/>
  <c r="E7" i="17"/>
  <c r="E8" i="17"/>
  <c r="E9" i="17"/>
  <c r="E10" i="17"/>
  <c r="E11" i="17"/>
  <c r="E12" i="17"/>
  <c r="E13" i="17"/>
  <c r="I5" i="17"/>
  <c r="H5" i="17"/>
  <c r="G5" i="17"/>
  <c r="F5" i="17"/>
  <c r="E5" i="17"/>
  <c r="I6" i="16"/>
  <c r="I7" i="16"/>
  <c r="I8" i="16"/>
  <c r="I9" i="16"/>
  <c r="I10" i="16"/>
  <c r="I11" i="16"/>
  <c r="I12" i="16"/>
  <c r="I13" i="16"/>
  <c r="I14" i="16"/>
  <c r="H6" i="16"/>
  <c r="H7" i="16"/>
  <c r="H8" i="16"/>
  <c r="H9" i="16"/>
  <c r="H10" i="16"/>
  <c r="H11" i="16"/>
  <c r="H12" i="16"/>
  <c r="H13" i="16"/>
  <c r="H14" i="16"/>
  <c r="G6" i="16"/>
  <c r="G7" i="16"/>
  <c r="G8" i="16"/>
  <c r="G9" i="16"/>
  <c r="G10" i="16"/>
  <c r="G11" i="16"/>
  <c r="G12" i="16"/>
  <c r="G13" i="16"/>
  <c r="G14" i="16"/>
  <c r="F6" i="16"/>
  <c r="F7" i="16"/>
  <c r="F8" i="16"/>
  <c r="F9" i="16"/>
  <c r="F10" i="16"/>
  <c r="F11" i="16"/>
  <c r="F12" i="16"/>
  <c r="F13" i="16"/>
  <c r="F14" i="16"/>
  <c r="E6" i="16"/>
  <c r="E7" i="16"/>
  <c r="E8" i="16"/>
  <c r="E9" i="16"/>
  <c r="E10" i="16"/>
  <c r="E11" i="16"/>
  <c r="E12" i="16"/>
  <c r="E13" i="16"/>
  <c r="E14" i="16"/>
  <c r="I5" i="16"/>
  <c r="H5" i="16"/>
  <c r="G5" i="16"/>
  <c r="F5" i="16"/>
  <c r="E5" i="16"/>
  <c r="G6" i="15"/>
  <c r="G7" i="15"/>
  <c r="G8" i="15"/>
  <c r="G9" i="15"/>
  <c r="G10" i="15"/>
  <c r="G11" i="15"/>
  <c r="G12" i="15"/>
  <c r="G13" i="15"/>
  <c r="G14" i="15"/>
  <c r="G5" i="15"/>
  <c r="F5" i="15"/>
  <c r="E5" i="15"/>
  <c r="F13" i="15"/>
  <c r="F14" i="15"/>
  <c r="E6" i="15"/>
  <c r="F6" i="15" s="1"/>
  <c r="E7" i="15"/>
  <c r="F7" i="15" s="1"/>
  <c r="E8" i="15"/>
  <c r="F8" i="15" s="1"/>
  <c r="E9" i="15"/>
  <c r="F9" i="15" s="1"/>
  <c r="E10" i="15"/>
  <c r="F10" i="15" s="1"/>
  <c r="E11" i="15"/>
  <c r="F11" i="15" s="1"/>
  <c r="E12" i="15"/>
  <c r="F12" i="15" s="1"/>
  <c r="E13" i="15"/>
  <c r="E14" i="15"/>
  <c r="G5" i="14"/>
  <c r="G6" i="14"/>
  <c r="G7" i="14"/>
  <c r="G8" i="14"/>
  <c r="G9" i="14"/>
  <c r="G10" i="14"/>
  <c r="G11" i="14"/>
  <c r="G4" i="14"/>
  <c r="F5" i="14"/>
  <c r="F6" i="14"/>
  <c r="F7" i="14"/>
  <c r="F8" i="14"/>
  <c r="F9" i="14"/>
  <c r="F10" i="14"/>
  <c r="F11" i="14"/>
  <c r="F4" i="14"/>
  <c r="F5" i="13"/>
  <c r="F6" i="13"/>
  <c r="F7" i="13"/>
  <c r="F8" i="13"/>
  <c r="F9" i="13"/>
  <c r="F11" i="13"/>
  <c r="F12" i="13"/>
  <c r="E12" i="13"/>
  <c r="D12" i="13"/>
  <c r="C12" i="13"/>
  <c r="K13" i="18" l="1"/>
  <c r="L13" i="18" s="1"/>
  <c r="M13" i="18" s="1"/>
  <c r="K8" i="18"/>
  <c r="L8" i="18" s="1"/>
  <c r="M8" i="18" s="1"/>
</calcChain>
</file>

<file path=xl/sharedStrings.xml><?xml version="1.0" encoding="utf-8"?>
<sst xmlns="http://schemas.openxmlformats.org/spreadsheetml/2006/main" count="153" uniqueCount="135">
  <si>
    <t>A-01</t>
  </si>
  <si>
    <t>A-02</t>
  </si>
  <si>
    <t>A-03</t>
  </si>
  <si>
    <t>A-04</t>
  </si>
  <si>
    <t>A-05</t>
  </si>
  <si>
    <t>A-07</t>
  </si>
  <si>
    <t>A-08</t>
  </si>
  <si>
    <t>A-09</t>
  </si>
  <si>
    <t>HD TV</t>
  </si>
  <si>
    <t>Total</t>
  </si>
  <si>
    <t>LUCIA VIZCAINO</t>
  </si>
  <si>
    <t>JUAN CAROS OPEZ</t>
  </si>
  <si>
    <t>ANA ROSARIO</t>
  </si>
  <si>
    <t>ALEXANDRA ESPINAL</t>
  </si>
  <si>
    <t>AMAURIS MEDINA</t>
  </si>
  <si>
    <t>A-6</t>
  </si>
  <si>
    <t>JOSE LUIS NUÑEZ</t>
  </si>
  <si>
    <t>RAMON JIMENEZ</t>
  </si>
  <si>
    <t>IVAN COMEZ GARCIA</t>
  </si>
  <si>
    <t>WANDA JOSEFINA CONTRERAS</t>
  </si>
  <si>
    <t>001-1908702-1</t>
  </si>
  <si>
    <t>Maria Gomez</t>
  </si>
  <si>
    <t>001-2451555-2</t>
  </si>
  <si>
    <t>Patricia Rosado</t>
  </si>
  <si>
    <t>001-2458445-5</t>
  </si>
  <si>
    <t>Rosaura Taveras</t>
  </si>
  <si>
    <t>001-2458132-1</t>
  </si>
  <si>
    <t>Marlenis Ramirez</t>
  </si>
  <si>
    <t>001-5428865-5</t>
  </si>
  <si>
    <t>Daniel Santana</t>
  </si>
  <si>
    <t>001-5246254-4</t>
  </si>
  <si>
    <t>Yinet Zabala</t>
  </si>
  <si>
    <t>001-4447857-5</t>
  </si>
  <si>
    <t>Elena Perez</t>
  </si>
  <si>
    <t>001-5426855-4</t>
  </si>
  <si>
    <t>Zuleika Reynoso</t>
  </si>
  <si>
    <t>001-5428362-1</t>
  </si>
  <si>
    <t>Violeta Valiente</t>
  </si>
  <si>
    <t>001-3524555-3</t>
  </si>
  <si>
    <t>Andrea Fermin</t>
  </si>
  <si>
    <t xml:space="preserve">                </t>
  </si>
  <si>
    <t>SUELDO BASE =TOTAL DE HORAS TRABAJADAS +TOTAL HORAS EXTRA TRABAJDA</t>
  </si>
  <si>
    <t>GLOBAL RETAIL SOLUTIONS</t>
  </si>
  <si>
    <t>Product ID</t>
  </si>
  <si>
    <t>Item</t>
  </si>
  <si>
    <t>Unit Price</t>
  </si>
  <si>
    <t>Quantity Sold</t>
  </si>
  <si>
    <t>Quantity Purchased</t>
  </si>
  <si>
    <t>Quantity in Stock</t>
  </si>
  <si>
    <t>Bed</t>
  </si>
  <si>
    <t>Dining Set</t>
  </si>
  <si>
    <t>Stove</t>
  </si>
  <si>
    <t>Refrigerator</t>
  </si>
  <si>
    <t>Stereo</t>
  </si>
  <si>
    <t>BBQ Grill</t>
  </si>
  <si>
    <t>Sofa</t>
  </si>
  <si>
    <t>Grand Total</t>
  </si>
  <si>
    <t>Inventory Management</t>
  </si>
  <si>
    <t>JUNE 2018 SALES REPORT</t>
  </si>
  <si>
    <t>Salesperson</t>
  </si>
  <si>
    <t>Product</t>
  </si>
  <si>
    <t>Quantity</t>
  </si>
  <si>
    <t>Sales Amount</t>
  </si>
  <si>
    <t>Commission</t>
  </si>
  <si>
    <t>Hanbags</t>
  </si>
  <si>
    <t>Watches</t>
  </si>
  <si>
    <t>Shoes</t>
  </si>
  <si>
    <t>Socks</t>
  </si>
  <si>
    <t>Poloshirts</t>
  </si>
  <si>
    <t>Blouses</t>
  </si>
  <si>
    <t>Shirts</t>
  </si>
  <si>
    <t>T-Shirts</t>
  </si>
  <si>
    <t>NORTHSTAR RETAIL GROUP</t>
  </si>
  <si>
    <t>Alex</t>
  </si>
  <si>
    <t>Peter</t>
  </si>
  <si>
    <t>John</t>
  </si>
  <si>
    <t>Mary</t>
  </si>
  <si>
    <t>Emely</t>
  </si>
  <si>
    <t>Michael</t>
  </si>
  <si>
    <t>David</t>
  </si>
  <si>
    <t>James</t>
  </si>
  <si>
    <t>Subtotal</t>
  </si>
  <si>
    <t>Tax</t>
  </si>
  <si>
    <t>SALES INVOICE</t>
  </si>
  <si>
    <t>Long-Sleeve Shirts</t>
  </si>
  <si>
    <t>Short-Sleeve Shirts</t>
  </si>
  <si>
    <t>Handbags</t>
  </si>
  <si>
    <t>Caps</t>
  </si>
  <si>
    <t>Belts</t>
  </si>
  <si>
    <t>T-shirts</t>
  </si>
  <si>
    <t>Sneakers</t>
  </si>
  <si>
    <t>SALES ANALYSIS</t>
  </si>
  <si>
    <t>Unit Profit</t>
  </si>
  <si>
    <t>Selling Price</t>
  </si>
  <si>
    <t>Investment</t>
  </si>
  <si>
    <t>Total Profit</t>
  </si>
  <si>
    <t>Desk</t>
  </si>
  <si>
    <t>Swivel Chair</t>
  </si>
  <si>
    <t>Organizer</t>
  </si>
  <si>
    <t>File Gabinet</t>
  </si>
  <si>
    <t>Mini Fridge</t>
  </si>
  <si>
    <t>Stapler</t>
  </si>
  <si>
    <t>Tape</t>
  </si>
  <si>
    <t>Pens</t>
  </si>
  <si>
    <t>Plasma TVs</t>
  </si>
  <si>
    <t>Paper Clips</t>
  </si>
  <si>
    <t>PAYROLL SUMMARY</t>
  </si>
  <si>
    <t>Employee ID</t>
  </si>
  <si>
    <t>Employee Name</t>
  </si>
  <si>
    <t>Department</t>
  </si>
  <si>
    <t>Base Salary</t>
  </si>
  <si>
    <t>Health Insurance</t>
  </si>
  <si>
    <t>Person Fund</t>
  </si>
  <si>
    <t>Cooperative</t>
  </si>
  <si>
    <t>Total Deductions</t>
  </si>
  <si>
    <t>Net Salary</t>
  </si>
  <si>
    <t>Marketing</t>
  </si>
  <si>
    <t>Information Tecnology</t>
  </si>
  <si>
    <t>Accounting</t>
  </si>
  <si>
    <t>Human Resources</t>
  </si>
  <si>
    <t>Security</t>
  </si>
  <si>
    <t>Audit</t>
  </si>
  <si>
    <t>Sales</t>
  </si>
  <si>
    <t>Administration</t>
  </si>
  <si>
    <t>Maintenance</t>
  </si>
  <si>
    <t>Name</t>
  </si>
  <si>
    <t>Hours Worked</t>
  </si>
  <si>
    <t>Hourly Rate</t>
  </si>
  <si>
    <t>Overtime Rate</t>
  </si>
  <si>
    <t>Overtime Amount</t>
  </si>
  <si>
    <t>Overtime Hours</t>
  </si>
  <si>
    <t>Pension Fund</t>
  </si>
  <si>
    <t>Total deductions</t>
  </si>
  <si>
    <t>Total to Pay</t>
  </si>
  <si>
    <t>PAYROLL DATAILS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</si>
</sst>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RD$&quot;* #,##0.00_);_(&quot;RD$&quot;* \(#,##0.00\);_(&quot;RD$&quot;* &quot;-&quot;??_);_(@_)"/>
    <numFmt numFmtId="165" formatCode="_([$RD$-1C0A]* #,##0.00_);_([$RD$-1C0A]* \(#,##0.00\);_([$RD$-1C0A]* &quot;-&quot;??_);_(@_)"/>
    <numFmt numFmtId="166" formatCode="[$RD$-1C0A]#,##0.00"/>
    <numFmt numFmtId="167" formatCode="&quot;$&quot;#,##0.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Adobe Garamond Pro Bold"/>
      <family val="1"/>
    </font>
    <font>
      <sz val="14"/>
      <color theme="1"/>
      <name val="Adobe Caslon Pro Bold"/>
      <family val="1"/>
    </font>
    <font>
      <b/>
      <sz val="16"/>
      <color theme="1"/>
      <name val="Adobe Garamond Pro Bold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Adobe Caslon Pro"/>
      <family val="1"/>
    </font>
    <font>
      <b/>
      <sz val="16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0" xfId="1" applyNumberFormat="1" applyFont="1" applyBorder="1"/>
    <xf numFmtId="164" fontId="0" fillId="0" borderId="10" xfId="0" applyNumberFormat="1" applyBorder="1"/>
    <xf numFmtId="0" fontId="20" fillId="0" borderId="0" xfId="0" applyFont="1"/>
    <xf numFmtId="0" fontId="0" fillId="0" borderId="10" xfId="0" applyBorder="1" applyAlignment="1">
      <alignment horizontal="center"/>
    </xf>
    <xf numFmtId="0" fontId="21" fillId="0" borderId="0" xfId="0" applyFont="1"/>
    <xf numFmtId="0" fontId="0" fillId="0" borderId="10" xfId="0" applyBorder="1" applyAlignment="1">
      <alignment horizontal="left"/>
    </xf>
    <xf numFmtId="0" fontId="22" fillId="0" borderId="0" xfId="0" applyFont="1"/>
    <xf numFmtId="165" fontId="0" fillId="0" borderId="10" xfId="0" applyNumberFormat="1" applyBorder="1"/>
    <xf numFmtId="44" fontId="0" fillId="0" borderId="10" xfId="0" applyNumberFormat="1" applyBorder="1"/>
    <xf numFmtId="0" fontId="25" fillId="0" borderId="0" xfId="0" applyFont="1"/>
    <xf numFmtId="166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16" fillId="39" borderId="10" xfId="0" applyFont="1" applyFill="1" applyBorder="1" applyAlignment="1">
      <alignment horizontal="center"/>
    </xf>
    <xf numFmtId="0" fontId="29" fillId="41" borderId="10" xfId="0" applyFont="1" applyFill="1" applyBorder="1" applyAlignment="1">
      <alignment wrapText="1"/>
    </xf>
    <xf numFmtId="0" fontId="29" fillId="39" borderId="10" xfId="0" applyFont="1" applyFill="1" applyBorder="1" applyAlignment="1">
      <alignment vertical="center" wrapText="1"/>
    </xf>
    <xf numFmtId="0" fontId="29" fillId="39" borderId="10" xfId="0" applyFont="1" applyFill="1" applyBorder="1" applyAlignment="1">
      <alignment horizontal="center" vertical="center" wrapText="1"/>
    </xf>
    <xf numFmtId="0" fontId="0" fillId="39" borderId="10" xfId="0" applyFill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7" fillId="0" borderId="0" xfId="0" applyFont="1" applyAlignment="1">
      <alignment horizontal="center"/>
    </xf>
    <xf numFmtId="0" fontId="28" fillId="36" borderId="13" xfId="0" applyFont="1" applyFill="1" applyBorder="1" applyAlignment="1">
      <alignment horizontal="center"/>
    </xf>
    <xf numFmtId="0" fontId="16" fillId="36" borderId="13" xfId="0" applyFont="1" applyFill="1" applyBorder="1" applyAlignment="1">
      <alignment horizontal="center"/>
    </xf>
    <xf numFmtId="0" fontId="0" fillId="35" borderId="14" xfId="0" applyFill="1" applyBorder="1"/>
    <xf numFmtId="0" fontId="0" fillId="35" borderId="0" xfId="0" applyFill="1"/>
    <xf numFmtId="0" fontId="0" fillId="35" borderId="15" xfId="0" applyFill="1" applyBorder="1"/>
    <xf numFmtId="0" fontId="18" fillId="35" borderId="0" xfId="0" applyFont="1" applyFill="1"/>
    <xf numFmtId="0" fontId="22" fillId="40" borderId="13" xfId="0" applyFont="1" applyFill="1" applyBorder="1" applyAlignment="1">
      <alignment horizontal="center"/>
    </xf>
    <xf numFmtId="0" fontId="16" fillId="37" borderId="13" xfId="0" applyFont="1" applyFill="1" applyBorder="1"/>
    <xf numFmtId="0" fontId="19" fillId="0" borderId="0" xfId="0" applyFont="1"/>
    <xf numFmtId="0" fontId="19" fillId="0" borderId="13" xfId="0" applyFont="1" applyBorder="1"/>
    <xf numFmtId="0" fontId="0" fillId="0" borderId="0" xfId="0"/>
    <xf numFmtId="0" fontId="21" fillId="38" borderId="13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6" fillId="34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I14"/>
  <sheetViews>
    <sheetView tabSelected="1" topLeftCell="A2" zoomScale="140" zoomScaleNormal="140" workbookViewId="0">
      <selection activeCell="B9" sqref="B9"/>
    </sheetView>
  </sheetViews>
  <sheetFormatPr defaultColWidth="10.90625" defaultRowHeight="14.5"/>
  <cols>
    <col min="1" max="1" width="16.36328125" customWidth="1"/>
    <col min="2" max="2" width="20.26953125" customWidth="1"/>
    <col min="3" max="3" width="12.54296875" bestFit="1" customWidth="1"/>
  </cols>
  <sheetData>
    <row r="1" spans="1:9" ht="21">
      <c r="A1" s="24" t="s">
        <v>42</v>
      </c>
      <c r="B1" s="24"/>
      <c r="C1" s="30"/>
      <c r="D1" s="30"/>
      <c r="E1" s="30"/>
      <c r="F1" s="30"/>
      <c r="G1" s="30"/>
      <c r="H1" s="30"/>
      <c r="I1" s="30"/>
    </row>
    <row r="2" spans="1:9" ht="15.5">
      <c r="A2" s="25" t="s">
        <v>57</v>
      </c>
      <c r="B2" s="26"/>
      <c r="C2" s="30"/>
      <c r="D2" s="30"/>
      <c r="E2" s="30"/>
      <c r="F2" s="30"/>
      <c r="G2" s="30"/>
      <c r="H2" s="30"/>
      <c r="I2" s="30"/>
    </row>
    <row r="3" spans="1:9" ht="29">
      <c r="A3" s="21" t="s">
        <v>43</v>
      </c>
      <c r="B3" s="21" t="s">
        <v>44</v>
      </c>
      <c r="C3" s="21" t="s">
        <v>45</v>
      </c>
      <c r="D3" s="21" t="s">
        <v>47</v>
      </c>
      <c r="E3" s="21" t="s">
        <v>46</v>
      </c>
      <c r="F3" s="21" t="s">
        <v>48</v>
      </c>
      <c r="G3" s="27"/>
      <c r="H3" s="28"/>
      <c r="I3" s="29"/>
    </row>
    <row r="4" spans="1:9">
      <c r="A4" s="2">
        <v>1012456</v>
      </c>
      <c r="B4" s="2" t="s">
        <v>8</v>
      </c>
      <c r="C4" s="2">
        <v>24300</v>
      </c>
      <c r="D4" s="2">
        <v>2500</v>
      </c>
      <c r="E4" s="2">
        <v>1275</v>
      </c>
      <c r="F4" s="2">
        <f>D4+E4</f>
        <v>3775</v>
      </c>
      <c r="G4" s="27"/>
      <c r="H4" s="28"/>
      <c r="I4" s="29"/>
    </row>
    <row r="5" spans="1:9">
      <c r="A5" s="2">
        <v>1022345</v>
      </c>
      <c r="B5" s="2" t="s">
        <v>49</v>
      </c>
      <c r="C5" s="2">
        <v>33250</v>
      </c>
      <c r="D5" s="2">
        <v>1200</v>
      </c>
      <c r="E5" s="2">
        <v>320</v>
      </c>
      <c r="F5" s="2">
        <f t="shared" ref="F5:F12" si="0">D5+E5</f>
        <v>1520</v>
      </c>
      <c r="G5" s="27"/>
      <c r="H5" s="28"/>
      <c r="I5" s="29"/>
    </row>
    <row r="6" spans="1:9">
      <c r="A6" s="2">
        <v>2034578</v>
      </c>
      <c r="B6" s="2" t="s">
        <v>50</v>
      </c>
      <c r="C6" s="2">
        <v>28700</v>
      </c>
      <c r="D6" s="2">
        <v>800</v>
      </c>
      <c r="E6" s="2">
        <v>101</v>
      </c>
      <c r="F6" s="2">
        <f t="shared" si="0"/>
        <v>901</v>
      </c>
      <c r="G6" s="27"/>
      <c r="H6" s="28"/>
      <c r="I6" s="29"/>
    </row>
    <row r="7" spans="1:9">
      <c r="A7" s="2">
        <v>7645123</v>
      </c>
      <c r="B7" s="2" t="s">
        <v>51</v>
      </c>
      <c r="C7" s="2">
        <v>23480</v>
      </c>
      <c r="D7" s="2">
        <v>1450</v>
      </c>
      <c r="E7" s="2">
        <v>624</v>
      </c>
      <c r="F7" s="2">
        <f t="shared" si="0"/>
        <v>2074</v>
      </c>
      <c r="G7" s="27"/>
      <c r="H7" s="28"/>
      <c r="I7" s="29"/>
    </row>
    <row r="8" spans="1:9">
      <c r="A8" s="2">
        <v>7452134</v>
      </c>
      <c r="B8" s="2" t="s">
        <v>52</v>
      </c>
      <c r="C8" s="2">
        <v>43000</v>
      </c>
      <c r="D8" s="2">
        <v>1450</v>
      </c>
      <c r="E8" s="2">
        <v>1120</v>
      </c>
      <c r="F8" s="2">
        <f t="shared" si="0"/>
        <v>2570</v>
      </c>
      <c r="G8" s="27"/>
      <c r="H8" s="28"/>
      <c r="I8" s="29"/>
    </row>
    <row r="9" spans="1:9">
      <c r="A9" s="2">
        <v>6743540</v>
      </c>
      <c r="B9" s="2" t="s">
        <v>53</v>
      </c>
      <c r="C9" s="2">
        <v>15250</v>
      </c>
      <c r="D9" s="2">
        <v>2500</v>
      </c>
      <c r="E9" s="2">
        <v>1200</v>
      </c>
      <c r="F9" s="2">
        <f t="shared" si="0"/>
        <v>3700</v>
      </c>
      <c r="G9" s="27"/>
      <c r="H9" s="28"/>
      <c r="I9" s="29"/>
    </row>
    <row r="10" spans="1:9">
      <c r="A10" s="2">
        <v>7641899</v>
      </c>
      <c r="B10" s="2" t="s">
        <v>54</v>
      </c>
      <c r="C10" s="2">
        <v>34600</v>
      </c>
      <c r="D10" s="2">
        <v>550</v>
      </c>
      <c r="E10" s="2">
        <v>75</v>
      </c>
      <c r="F10" s="2">
        <f>D10+E10</f>
        <v>625</v>
      </c>
      <c r="G10" s="27"/>
      <c r="H10" s="28"/>
      <c r="I10" s="29"/>
    </row>
    <row r="11" spans="1:9">
      <c r="A11" s="2">
        <v>2024564</v>
      </c>
      <c r="B11" s="2" t="s">
        <v>55</v>
      </c>
      <c r="C11" s="2">
        <v>27340</v>
      </c>
      <c r="D11" s="2">
        <v>700</v>
      </c>
      <c r="E11" s="2">
        <v>404</v>
      </c>
      <c r="F11" s="2">
        <f t="shared" si="0"/>
        <v>1104</v>
      </c>
      <c r="G11" s="27"/>
      <c r="H11" s="28"/>
      <c r="I11" s="29"/>
    </row>
    <row r="12" spans="1:9">
      <c r="A12" s="22" t="s">
        <v>56</v>
      </c>
      <c r="B12" s="23"/>
      <c r="C12" s="2">
        <f>SUM(C4:C11)</f>
        <v>229920</v>
      </c>
      <c r="D12" s="2">
        <f>SUM(D4:D11)</f>
        <v>11150</v>
      </c>
      <c r="E12" s="2">
        <f>SUM(E4:E11)</f>
        <v>5119</v>
      </c>
      <c r="F12" s="2">
        <f t="shared" si="0"/>
        <v>16269</v>
      </c>
      <c r="G12" s="27"/>
      <c r="H12" s="28"/>
      <c r="I12" s="29"/>
    </row>
    <row r="14" spans="1:9">
      <c r="A14" s="1"/>
    </row>
  </sheetData>
  <mergeCells count="5">
    <mergeCell ref="A12:B12"/>
    <mergeCell ref="A1:B1"/>
    <mergeCell ref="A2:B2"/>
    <mergeCell ref="G3:I12"/>
    <mergeCell ref="C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2:I21"/>
  <sheetViews>
    <sheetView workbookViewId="0">
      <selection activeCell="J13" sqref="J13"/>
    </sheetView>
  </sheetViews>
  <sheetFormatPr defaultColWidth="10.90625" defaultRowHeight="14.5"/>
  <cols>
    <col min="2" max="2" width="27.36328125" customWidth="1"/>
    <col min="6" max="6" width="15.90625" customWidth="1"/>
    <col min="7" max="7" width="12.81640625" customWidth="1"/>
    <col min="8" max="8" width="15.7265625" customWidth="1"/>
    <col min="9" max="9" width="14.453125" customWidth="1"/>
  </cols>
  <sheetData>
    <row r="2" spans="1:9" ht="18">
      <c r="A2" s="31" t="s">
        <v>91</v>
      </c>
      <c r="B2" s="31"/>
      <c r="C2" s="31"/>
      <c r="D2" s="9"/>
      <c r="E2" s="9"/>
      <c r="F2" s="9"/>
      <c r="G2" s="9"/>
      <c r="H2" s="9"/>
      <c r="I2" s="9"/>
    </row>
    <row r="3" spans="1:9" ht="15.5">
      <c r="A3" s="18" t="s">
        <v>43</v>
      </c>
      <c r="B3" s="18" t="s">
        <v>44</v>
      </c>
      <c r="C3" s="18" t="s">
        <v>61</v>
      </c>
      <c r="D3" s="18" t="s">
        <v>45</v>
      </c>
      <c r="E3" s="18" t="s">
        <v>92</v>
      </c>
      <c r="F3" s="18" t="s">
        <v>93</v>
      </c>
      <c r="G3" s="18" t="s">
        <v>94</v>
      </c>
      <c r="H3" s="18" t="s">
        <v>62</v>
      </c>
      <c r="I3" s="18" t="s">
        <v>95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8">
        <v>789654235</v>
      </c>
      <c r="B5" s="2" t="s">
        <v>104</v>
      </c>
      <c r="C5" s="6">
        <v>40</v>
      </c>
      <c r="D5" s="6">
        <v>32000</v>
      </c>
      <c r="E5" s="2">
        <f>D5*30%</f>
        <v>9600</v>
      </c>
      <c r="F5" s="2">
        <f>D5+E5</f>
        <v>41600</v>
      </c>
      <c r="G5" s="2">
        <f>C5*D5</f>
        <v>1280000</v>
      </c>
      <c r="H5" s="2">
        <f>C5*F5</f>
        <v>1664000</v>
      </c>
      <c r="I5" s="2">
        <f>C5*E5</f>
        <v>384000</v>
      </c>
    </row>
    <row r="6" spans="1:9">
      <c r="A6" s="8">
        <v>65821123</v>
      </c>
      <c r="B6" s="2" t="s">
        <v>96</v>
      </c>
      <c r="C6" s="6">
        <v>300</v>
      </c>
      <c r="D6" s="6">
        <v>3500</v>
      </c>
      <c r="E6" s="2">
        <f t="shared" ref="E6:E14" si="0">D6*30%</f>
        <v>1050</v>
      </c>
      <c r="F6" s="2">
        <f t="shared" ref="F6:F14" si="1">D6+E6</f>
        <v>4550</v>
      </c>
      <c r="G6" s="2">
        <f t="shared" ref="G6:G14" si="2">C6*D6</f>
        <v>1050000</v>
      </c>
      <c r="H6" s="2">
        <f t="shared" ref="H6:H14" si="3">C6*F6</f>
        <v>1365000</v>
      </c>
      <c r="I6" s="2">
        <f t="shared" ref="I6:I14" si="4">C6*E6</f>
        <v>315000</v>
      </c>
    </row>
    <row r="7" spans="1:9">
      <c r="A7" s="8">
        <v>6352410</v>
      </c>
      <c r="B7" s="2" t="s">
        <v>97</v>
      </c>
      <c r="C7" s="6">
        <v>50</v>
      </c>
      <c r="D7" s="6">
        <v>1800</v>
      </c>
      <c r="E7" s="2">
        <f t="shared" si="0"/>
        <v>540</v>
      </c>
      <c r="F7" s="2">
        <f t="shared" si="1"/>
        <v>2340</v>
      </c>
      <c r="G7" s="2">
        <f t="shared" si="2"/>
        <v>90000</v>
      </c>
      <c r="H7" s="2">
        <f t="shared" si="3"/>
        <v>117000</v>
      </c>
      <c r="I7" s="2">
        <f t="shared" si="4"/>
        <v>27000</v>
      </c>
    </row>
    <row r="8" spans="1:9">
      <c r="A8" s="8">
        <v>98632541</v>
      </c>
      <c r="B8" s="2" t="s">
        <v>98</v>
      </c>
      <c r="C8" s="6">
        <v>80</v>
      </c>
      <c r="D8" s="6">
        <v>350</v>
      </c>
      <c r="E8" s="2">
        <f t="shared" si="0"/>
        <v>105</v>
      </c>
      <c r="F8" s="2">
        <f t="shared" si="1"/>
        <v>455</v>
      </c>
      <c r="G8" s="2">
        <f t="shared" si="2"/>
        <v>28000</v>
      </c>
      <c r="H8" s="2">
        <f t="shared" si="3"/>
        <v>36400</v>
      </c>
      <c r="I8" s="2">
        <f t="shared" si="4"/>
        <v>8400</v>
      </c>
    </row>
    <row r="9" spans="1:9">
      <c r="A9" s="8">
        <v>98635421</v>
      </c>
      <c r="B9" s="2" t="s">
        <v>99</v>
      </c>
      <c r="C9" s="6">
        <v>100</v>
      </c>
      <c r="D9" s="6">
        <v>1300</v>
      </c>
      <c r="E9" s="2">
        <f t="shared" si="0"/>
        <v>390</v>
      </c>
      <c r="F9" s="2">
        <f t="shared" si="1"/>
        <v>1690</v>
      </c>
      <c r="G9" s="2">
        <f t="shared" si="2"/>
        <v>130000</v>
      </c>
      <c r="H9" s="2">
        <f t="shared" si="3"/>
        <v>169000</v>
      </c>
      <c r="I9" s="2">
        <f t="shared" si="4"/>
        <v>39000</v>
      </c>
    </row>
    <row r="10" spans="1:9">
      <c r="A10" s="8">
        <v>36852410</v>
      </c>
      <c r="B10" s="2" t="s">
        <v>100</v>
      </c>
      <c r="C10" s="6">
        <v>100</v>
      </c>
      <c r="D10" s="6">
        <v>4100</v>
      </c>
      <c r="E10" s="2">
        <f t="shared" si="0"/>
        <v>1230</v>
      </c>
      <c r="F10" s="2">
        <f t="shared" si="1"/>
        <v>5330</v>
      </c>
      <c r="G10" s="2">
        <f t="shared" si="2"/>
        <v>410000</v>
      </c>
      <c r="H10" s="2">
        <f t="shared" si="3"/>
        <v>533000</v>
      </c>
      <c r="I10" s="2">
        <f t="shared" si="4"/>
        <v>123000</v>
      </c>
    </row>
    <row r="11" spans="1:9">
      <c r="A11" s="8">
        <v>68542321</v>
      </c>
      <c r="B11" s="2" t="s">
        <v>101</v>
      </c>
      <c r="C11" s="6">
        <v>60</v>
      </c>
      <c r="D11" s="6">
        <v>200</v>
      </c>
      <c r="E11" s="2">
        <f t="shared" si="0"/>
        <v>60</v>
      </c>
      <c r="F11" s="2">
        <f t="shared" si="1"/>
        <v>260</v>
      </c>
      <c r="G11" s="2">
        <f t="shared" si="2"/>
        <v>12000</v>
      </c>
      <c r="H11" s="2">
        <f t="shared" si="3"/>
        <v>15600</v>
      </c>
      <c r="I11" s="2">
        <f t="shared" si="4"/>
        <v>3600</v>
      </c>
    </row>
    <row r="12" spans="1:9">
      <c r="A12" s="8">
        <v>3985241</v>
      </c>
      <c r="B12" s="2" t="s">
        <v>105</v>
      </c>
      <c r="C12" s="6">
        <v>200</v>
      </c>
      <c r="D12" s="6">
        <v>100</v>
      </c>
      <c r="E12" s="2">
        <f t="shared" si="0"/>
        <v>30</v>
      </c>
      <c r="F12" s="2">
        <f t="shared" si="1"/>
        <v>130</v>
      </c>
      <c r="G12" s="2">
        <f t="shared" si="2"/>
        <v>20000</v>
      </c>
      <c r="H12" s="2">
        <f t="shared" si="3"/>
        <v>26000</v>
      </c>
      <c r="I12" s="2">
        <f t="shared" si="4"/>
        <v>6000</v>
      </c>
    </row>
    <row r="13" spans="1:9">
      <c r="A13" s="8">
        <v>2365412</v>
      </c>
      <c r="B13" s="2" t="s">
        <v>102</v>
      </c>
      <c r="C13" s="6">
        <v>40</v>
      </c>
      <c r="D13" s="6">
        <v>250</v>
      </c>
      <c r="E13" s="2">
        <f t="shared" si="0"/>
        <v>75</v>
      </c>
      <c r="F13" s="2">
        <f t="shared" si="1"/>
        <v>325</v>
      </c>
      <c r="G13" s="2">
        <f t="shared" si="2"/>
        <v>10000</v>
      </c>
      <c r="H13" s="2">
        <f t="shared" si="3"/>
        <v>13000</v>
      </c>
      <c r="I13" s="2">
        <f t="shared" si="4"/>
        <v>3000</v>
      </c>
    </row>
    <row r="14" spans="1:9">
      <c r="A14" s="8">
        <v>63524</v>
      </c>
      <c r="B14" s="2" t="s">
        <v>103</v>
      </c>
      <c r="C14" s="6">
        <v>200</v>
      </c>
      <c r="D14" s="6">
        <v>100</v>
      </c>
      <c r="E14" s="2">
        <f t="shared" si="0"/>
        <v>30</v>
      </c>
      <c r="F14" s="2">
        <f t="shared" si="1"/>
        <v>130</v>
      </c>
      <c r="G14" s="2">
        <f t="shared" si="2"/>
        <v>20000</v>
      </c>
      <c r="H14" s="2">
        <f t="shared" si="3"/>
        <v>26000</v>
      </c>
      <c r="I14" s="2">
        <f t="shared" si="4"/>
        <v>6000</v>
      </c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H15"/>
  <sheetViews>
    <sheetView zoomScale="130" zoomScaleNormal="130" workbookViewId="0">
      <selection activeCell="I2" sqref="I2"/>
    </sheetView>
  </sheetViews>
  <sheetFormatPr defaultColWidth="10.90625" defaultRowHeight="14.5"/>
  <cols>
    <col min="1" max="1" width="14.7265625" customWidth="1"/>
    <col min="5" max="5" width="10.7265625" customWidth="1"/>
    <col min="6" max="6" width="16.453125" bestFit="1" customWidth="1"/>
    <col min="7" max="7" width="14.90625" bestFit="1" customWidth="1"/>
  </cols>
  <sheetData>
    <row r="1" spans="1:8">
      <c r="A1" s="33" t="s">
        <v>72</v>
      </c>
      <c r="B1" s="33"/>
      <c r="C1" s="33"/>
      <c r="D1" s="33"/>
      <c r="E1" s="33"/>
      <c r="F1" s="33"/>
      <c r="G1" s="33"/>
      <c r="H1" s="35"/>
    </row>
    <row r="2" spans="1:8">
      <c r="A2" s="32" t="s">
        <v>58</v>
      </c>
      <c r="B2" s="32"/>
      <c r="C2" s="34"/>
      <c r="D2" s="34"/>
      <c r="E2" s="34"/>
      <c r="F2" s="34"/>
      <c r="G2" s="34"/>
      <c r="H2" s="35"/>
    </row>
    <row r="3" spans="1:8" ht="30" customHeight="1">
      <c r="A3" s="15" t="s">
        <v>43</v>
      </c>
      <c r="B3" s="15" t="s">
        <v>59</v>
      </c>
      <c r="C3" s="15" t="s">
        <v>60</v>
      </c>
      <c r="D3" s="15" t="s">
        <v>61</v>
      </c>
      <c r="E3" s="16" t="s">
        <v>45</v>
      </c>
      <c r="F3" s="16" t="s">
        <v>62</v>
      </c>
      <c r="G3" s="15" t="s">
        <v>63</v>
      </c>
      <c r="H3" s="35"/>
    </row>
    <row r="4" spans="1:8">
      <c r="A4" s="2">
        <v>101</v>
      </c>
      <c r="B4" s="2" t="s">
        <v>75</v>
      </c>
      <c r="C4" s="2" t="s">
        <v>71</v>
      </c>
      <c r="D4" s="2">
        <v>7689</v>
      </c>
      <c r="E4" s="3">
        <v>350</v>
      </c>
      <c r="F4" s="4">
        <f>D4*E4</f>
        <v>2691150</v>
      </c>
      <c r="G4" s="4">
        <f>F4*5%</f>
        <v>134557.5</v>
      </c>
      <c r="H4" s="35"/>
    </row>
    <row r="5" spans="1:8">
      <c r="A5" s="2">
        <v>102</v>
      </c>
      <c r="B5" s="2" t="s">
        <v>76</v>
      </c>
      <c r="C5" s="2" t="s">
        <v>70</v>
      </c>
      <c r="D5" s="2">
        <v>5320</v>
      </c>
      <c r="E5" s="3">
        <v>700</v>
      </c>
      <c r="F5" s="4">
        <f t="shared" ref="F5:F11" si="0">D5*E5</f>
        <v>3724000</v>
      </c>
      <c r="G5" s="4">
        <f t="shared" ref="G5:G11" si="1">F5*5%</f>
        <v>186200</v>
      </c>
      <c r="H5" s="35"/>
    </row>
    <row r="6" spans="1:8">
      <c r="A6" s="2">
        <v>103</v>
      </c>
      <c r="B6" s="2" t="s">
        <v>77</v>
      </c>
      <c r="C6" s="2" t="s">
        <v>69</v>
      </c>
      <c r="D6" s="2">
        <v>6200</v>
      </c>
      <c r="E6" s="3">
        <v>850</v>
      </c>
      <c r="F6" s="4">
        <f t="shared" si="0"/>
        <v>5270000</v>
      </c>
      <c r="G6" s="4">
        <f t="shared" si="1"/>
        <v>263500</v>
      </c>
      <c r="H6" s="35"/>
    </row>
    <row r="7" spans="1:8">
      <c r="A7" s="2">
        <v>104</v>
      </c>
      <c r="B7" s="2" t="s">
        <v>78</v>
      </c>
      <c r="C7" s="2" t="s">
        <v>68</v>
      </c>
      <c r="D7" s="2">
        <v>4005</v>
      </c>
      <c r="E7" s="3">
        <v>550</v>
      </c>
      <c r="F7" s="4">
        <f t="shared" si="0"/>
        <v>2202750</v>
      </c>
      <c r="G7" s="4">
        <f t="shared" si="1"/>
        <v>110137.5</v>
      </c>
      <c r="H7" s="35"/>
    </row>
    <row r="8" spans="1:8">
      <c r="A8" s="2">
        <v>105</v>
      </c>
      <c r="B8" s="2" t="s">
        <v>79</v>
      </c>
      <c r="C8" s="2" t="s">
        <v>67</v>
      </c>
      <c r="D8" s="2">
        <v>9876</v>
      </c>
      <c r="E8" s="3">
        <v>150</v>
      </c>
      <c r="F8" s="4">
        <f t="shared" si="0"/>
        <v>1481400</v>
      </c>
      <c r="G8" s="4">
        <f t="shared" si="1"/>
        <v>74070</v>
      </c>
      <c r="H8" s="35"/>
    </row>
    <row r="9" spans="1:8">
      <c r="A9" s="2">
        <v>106</v>
      </c>
      <c r="B9" s="2" t="s">
        <v>73</v>
      </c>
      <c r="C9" s="2" t="s">
        <v>66</v>
      </c>
      <c r="D9" s="2">
        <v>1567</v>
      </c>
      <c r="E9" s="3">
        <v>1050</v>
      </c>
      <c r="F9" s="4">
        <f t="shared" si="0"/>
        <v>1645350</v>
      </c>
      <c r="G9" s="4">
        <f t="shared" si="1"/>
        <v>82267.5</v>
      </c>
      <c r="H9" s="35"/>
    </row>
    <row r="10" spans="1:8">
      <c r="A10" s="2">
        <v>107</v>
      </c>
      <c r="B10" s="2" t="s">
        <v>74</v>
      </c>
      <c r="C10" s="2" t="s">
        <v>65</v>
      </c>
      <c r="D10" s="2">
        <v>2700</v>
      </c>
      <c r="E10" s="3">
        <v>600</v>
      </c>
      <c r="F10" s="4">
        <f t="shared" si="0"/>
        <v>1620000</v>
      </c>
      <c r="G10" s="4">
        <f t="shared" si="1"/>
        <v>81000</v>
      </c>
      <c r="H10" s="35"/>
    </row>
    <row r="11" spans="1:8">
      <c r="A11" s="2">
        <v>108</v>
      </c>
      <c r="B11" s="2" t="s">
        <v>80</v>
      </c>
      <c r="C11" s="2" t="s">
        <v>64</v>
      </c>
      <c r="D11" s="2">
        <v>3020</v>
      </c>
      <c r="E11" s="3">
        <v>890</v>
      </c>
      <c r="F11" s="4">
        <f t="shared" si="0"/>
        <v>2687800</v>
      </c>
      <c r="G11" s="4">
        <f t="shared" si="1"/>
        <v>134390</v>
      </c>
      <c r="H11" s="35"/>
    </row>
    <row r="13" spans="1:8">
      <c r="A13" s="1"/>
    </row>
    <row r="14" spans="1:8">
      <c r="A14" s="1"/>
    </row>
    <row r="15" spans="1:8">
      <c r="A15" s="5"/>
    </row>
  </sheetData>
  <mergeCells count="4">
    <mergeCell ref="A2:B2"/>
    <mergeCell ref="C1:G2"/>
    <mergeCell ref="H1:H11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3:G20"/>
  <sheetViews>
    <sheetView workbookViewId="0">
      <selection activeCell="J14" sqref="J14"/>
    </sheetView>
  </sheetViews>
  <sheetFormatPr defaultColWidth="10.90625" defaultRowHeight="14.5"/>
  <cols>
    <col min="2" max="2" width="29.54296875" customWidth="1"/>
  </cols>
  <sheetData>
    <row r="3" spans="1:7" ht="20">
      <c r="A3" s="36" t="s">
        <v>83</v>
      </c>
      <c r="B3" s="36"/>
      <c r="C3" s="7"/>
      <c r="D3" s="7"/>
      <c r="E3" s="7"/>
      <c r="F3" s="7"/>
      <c r="G3" s="7"/>
    </row>
    <row r="4" spans="1:7">
      <c r="A4" s="17" t="s">
        <v>43</v>
      </c>
      <c r="B4" s="17" t="s">
        <v>44</v>
      </c>
      <c r="C4" s="17" t="s">
        <v>61</v>
      </c>
      <c r="D4" s="17" t="s">
        <v>45</v>
      </c>
      <c r="E4" s="17" t="s">
        <v>81</v>
      </c>
      <c r="F4" s="17" t="s">
        <v>82</v>
      </c>
      <c r="G4" s="17" t="s">
        <v>9</v>
      </c>
    </row>
    <row r="5" spans="1:7">
      <c r="A5" s="6">
        <v>6456321</v>
      </c>
      <c r="B5" s="6" t="s">
        <v>84</v>
      </c>
      <c r="C5" s="6">
        <v>8000</v>
      </c>
      <c r="D5" s="6">
        <v>1500</v>
      </c>
      <c r="E5" s="6">
        <f>C5*D5</f>
        <v>12000000</v>
      </c>
      <c r="F5" s="6">
        <f>E5*18%</f>
        <v>2160000</v>
      </c>
      <c r="G5" s="6">
        <f>E5+F5</f>
        <v>14160000</v>
      </c>
    </row>
    <row r="6" spans="1:7">
      <c r="A6" s="6">
        <v>3265145</v>
      </c>
      <c r="B6" s="6" t="s">
        <v>85</v>
      </c>
      <c r="C6" s="6">
        <v>1900</v>
      </c>
      <c r="D6" s="6">
        <v>870</v>
      </c>
      <c r="E6" s="6">
        <f t="shared" ref="E6:E14" si="0">C6*D6</f>
        <v>1653000</v>
      </c>
      <c r="F6" s="6">
        <f t="shared" ref="F6:F14" si="1">E6*18%</f>
        <v>297540</v>
      </c>
      <c r="G6" s="6">
        <f t="shared" ref="G6:G14" si="2">E6+F6</f>
        <v>1950540</v>
      </c>
    </row>
    <row r="7" spans="1:7">
      <c r="A7" s="6">
        <v>7563241</v>
      </c>
      <c r="B7" s="6" t="s">
        <v>86</v>
      </c>
      <c r="C7" s="6">
        <v>700</v>
      </c>
      <c r="D7" s="6">
        <v>600</v>
      </c>
      <c r="E7" s="6">
        <f t="shared" si="0"/>
        <v>420000</v>
      </c>
      <c r="F7" s="6">
        <f t="shared" si="1"/>
        <v>75600</v>
      </c>
      <c r="G7" s="6">
        <f t="shared" si="2"/>
        <v>495600</v>
      </c>
    </row>
    <row r="8" spans="1:7">
      <c r="A8" s="6">
        <v>5463217</v>
      </c>
      <c r="B8" s="6" t="s">
        <v>67</v>
      </c>
      <c r="C8" s="6">
        <v>1000</v>
      </c>
      <c r="D8" s="6">
        <v>125</v>
      </c>
      <c r="E8" s="6">
        <f t="shared" si="0"/>
        <v>125000</v>
      </c>
      <c r="F8" s="6">
        <f t="shared" si="1"/>
        <v>22500</v>
      </c>
      <c r="G8" s="6">
        <f t="shared" si="2"/>
        <v>147500</v>
      </c>
    </row>
    <row r="9" spans="1:7">
      <c r="A9" s="6">
        <v>9685421</v>
      </c>
      <c r="B9" s="6" t="s">
        <v>87</v>
      </c>
      <c r="C9" s="6">
        <v>2000</v>
      </c>
      <c r="D9" s="6">
        <v>580</v>
      </c>
      <c r="E9" s="6">
        <f t="shared" si="0"/>
        <v>1160000</v>
      </c>
      <c r="F9" s="6">
        <f t="shared" si="1"/>
        <v>208800</v>
      </c>
      <c r="G9" s="6">
        <f t="shared" si="2"/>
        <v>1368800</v>
      </c>
    </row>
    <row r="10" spans="1:7">
      <c r="A10" s="6">
        <v>6352478</v>
      </c>
      <c r="B10" s="6" t="s">
        <v>88</v>
      </c>
      <c r="C10" s="6">
        <v>500</v>
      </c>
      <c r="D10" s="6">
        <v>500</v>
      </c>
      <c r="E10" s="6">
        <f t="shared" si="0"/>
        <v>250000</v>
      </c>
      <c r="F10" s="6">
        <f t="shared" si="1"/>
        <v>45000</v>
      </c>
      <c r="G10" s="6">
        <f t="shared" si="2"/>
        <v>295000</v>
      </c>
    </row>
    <row r="11" spans="1:7">
      <c r="A11" s="6">
        <v>6352415</v>
      </c>
      <c r="B11" s="6" t="s">
        <v>89</v>
      </c>
      <c r="C11" s="6">
        <v>390</v>
      </c>
      <c r="D11" s="6">
        <v>460</v>
      </c>
      <c r="E11" s="6">
        <f t="shared" si="0"/>
        <v>179400</v>
      </c>
      <c r="F11" s="6">
        <f t="shared" si="1"/>
        <v>32292</v>
      </c>
      <c r="G11" s="6">
        <f t="shared" si="2"/>
        <v>211692</v>
      </c>
    </row>
    <row r="12" spans="1:7">
      <c r="A12" s="6">
        <v>563241</v>
      </c>
      <c r="B12" s="6" t="s">
        <v>90</v>
      </c>
      <c r="C12" s="6">
        <v>1300</v>
      </c>
      <c r="D12" s="6">
        <v>2500</v>
      </c>
      <c r="E12" s="6">
        <f t="shared" si="0"/>
        <v>3250000</v>
      </c>
      <c r="F12" s="6">
        <f t="shared" si="1"/>
        <v>585000</v>
      </c>
      <c r="G12" s="6">
        <f t="shared" si="2"/>
        <v>3835000</v>
      </c>
    </row>
    <row r="13" spans="1:7">
      <c r="A13" s="6">
        <v>6354217</v>
      </c>
      <c r="B13" s="6" t="s">
        <v>66</v>
      </c>
      <c r="C13" s="6">
        <v>600</v>
      </c>
      <c r="D13" s="6">
        <v>1850</v>
      </c>
      <c r="E13" s="6">
        <f t="shared" si="0"/>
        <v>1110000</v>
      </c>
      <c r="F13" s="6">
        <f t="shared" si="1"/>
        <v>199800</v>
      </c>
      <c r="G13" s="6">
        <f t="shared" si="2"/>
        <v>1309800</v>
      </c>
    </row>
    <row r="14" spans="1:7">
      <c r="A14" s="6">
        <v>6352418</v>
      </c>
      <c r="B14" s="6" t="s">
        <v>71</v>
      </c>
      <c r="C14" s="6">
        <v>100</v>
      </c>
      <c r="D14" s="6">
        <v>290</v>
      </c>
      <c r="E14" s="6">
        <f t="shared" si="0"/>
        <v>29000</v>
      </c>
      <c r="F14" s="6">
        <f t="shared" si="1"/>
        <v>5220</v>
      </c>
      <c r="G14" s="6">
        <f t="shared" si="2"/>
        <v>34220</v>
      </c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mergeCells count="1"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I21"/>
  <sheetViews>
    <sheetView workbookViewId="0">
      <selection activeCell="B13" sqref="B13"/>
    </sheetView>
  </sheetViews>
  <sheetFormatPr defaultColWidth="10.90625" defaultRowHeight="14.5"/>
  <cols>
    <col min="1" max="1" width="13.81640625" customWidth="1"/>
    <col min="2" max="2" width="27.54296875" customWidth="1"/>
    <col min="3" max="3" width="23.1796875" customWidth="1"/>
    <col min="4" max="4" width="16.26953125" customWidth="1"/>
    <col min="7" max="7" width="14.7265625" customWidth="1"/>
    <col min="8" max="8" width="13.26953125" customWidth="1"/>
    <col min="9" max="9" width="11.08984375" bestFit="1" customWidth="1"/>
  </cols>
  <sheetData>
    <row r="3" spans="1:9" ht="20">
      <c r="A3" s="37" t="s">
        <v>106</v>
      </c>
      <c r="B3" s="37"/>
      <c r="C3" s="37"/>
      <c r="D3" s="37"/>
      <c r="E3" s="37"/>
      <c r="F3" s="37"/>
      <c r="G3" s="37"/>
      <c r="H3" s="37"/>
      <c r="I3" s="37"/>
    </row>
    <row r="4" spans="1:9" ht="31">
      <c r="A4" s="20" t="s">
        <v>107</v>
      </c>
      <c r="B4" s="20" t="s">
        <v>108</v>
      </c>
      <c r="C4" s="20" t="s">
        <v>109</v>
      </c>
      <c r="D4" s="20" t="s">
        <v>110</v>
      </c>
      <c r="E4" s="20" t="s">
        <v>111</v>
      </c>
      <c r="F4" s="20" t="s">
        <v>112</v>
      </c>
      <c r="G4" s="20" t="s">
        <v>113</v>
      </c>
      <c r="H4" s="20" t="s">
        <v>114</v>
      </c>
      <c r="I4" s="20" t="s">
        <v>115</v>
      </c>
    </row>
    <row r="5" spans="1:9">
      <c r="A5" s="2" t="s">
        <v>0</v>
      </c>
      <c r="B5" s="2" t="s">
        <v>10</v>
      </c>
      <c r="C5" s="2" t="s">
        <v>116</v>
      </c>
      <c r="D5" s="10">
        <v>22000</v>
      </c>
      <c r="E5" s="11">
        <f>D5*3.04%</f>
        <v>668.8</v>
      </c>
      <c r="F5" s="11">
        <f>D5*2.87%</f>
        <v>631.4</v>
      </c>
      <c r="G5" s="11">
        <f>D5*2.5%</f>
        <v>550</v>
      </c>
      <c r="H5" s="11">
        <f>E5+F5+G5</f>
        <v>1850.1999999999998</v>
      </c>
      <c r="I5" s="11">
        <f>D5+H5</f>
        <v>23850.2</v>
      </c>
    </row>
    <row r="6" spans="1:9">
      <c r="A6" s="2" t="s">
        <v>1</v>
      </c>
      <c r="B6" s="2" t="s">
        <v>11</v>
      </c>
      <c r="C6" s="2" t="s">
        <v>117</v>
      </c>
      <c r="D6" s="10">
        <v>26000</v>
      </c>
      <c r="E6" s="11">
        <f t="shared" ref="E6:E13" si="0">D6*3.04%</f>
        <v>790.4</v>
      </c>
      <c r="F6" s="11">
        <f t="shared" ref="F6:F13" si="1">D6*2.87%</f>
        <v>746.2</v>
      </c>
      <c r="G6" s="11">
        <f t="shared" ref="G6:G13" si="2">D6*2.5%</f>
        <v>650</v>
      </c>
      <c r="H6" s="11">
        <f t="shared" ref="H6:H13" si="3">E6+F6+G6</f>
        <v>2186.6</v>
      </c>
      <c r="I6" s="11">
        <f t="shared" ref="I6:I13" si="4">D6+H6</f>
        <v>28186.6</v>
      </c>
    </row>
    <row r="7" spans="1:9">
      <c r="A7" s="2" t="s">
        <v>2</v>
      </c>
      <c r="B7" s="2" t="s">
        <v>12</v>
      </c>
      <c r="C7" s="2" t="s">
        <v>118</v>
      </c>
      <c r="D7" s="10">
        <v>23900</v>
      </c>
      <c r="E7" s="11">
        <f t="shared" si="0"/>
        <v>726.56</v>
      </c>
      <c r="F7" s="11">
        <f t="shared" si="1"/>
        <v>685.93</v>
      </c>
      <c r="G7" s="11">
        <f t="shared" si="2"/>
        <v>597.5</v>
      </c>
      <c r="H7" s="11">
        <f t="shared" si="3"/>
        <v>2009.9899999999998</v>
      </c>
      <c r="I7" s="11">
        <f t="shared" si="4"/>
        <v>25909.989999999998</v>
      </c>
    </row>
    <row r="8" spans="1:9">
      <c r="A8" s="2" t="s">
        <v>3</v>
      </c>
      <c r="B8" s="2" t="s">
        <v>13</v>
      </c>
      <c r="C8" s="2" t="s">
        <v>119</v>
      </c>
      <c r="D8" s="10">
        <v>25300</v>
      </c>
      <c r="E8" s="11">
        <f t="shared" si="0"/>
        <v>769.12</v>
      </c>
      <c r="F8" s="11">
        <f t="shared" si="1"/>
        <v>726.11</v>
      </c>
      <c r="G8" s="11">
        <f t="shared" si="2"/>
        <v>632.5</v>
      </c>
      <c r="H8" s="11">
        <f t="shared" si="3"/>
        <v>2127.73</v>
      </c>
      <c r="I8" s="11">
        <f t="shared" si="4"/>
        <v>27427.73</v>
      </c>
    </row>
    <row r="9" spans="1:9">
      <c r="A9" s="2" t="s">
        <v>4</v>
      </c>
      <c r="B9" s="2" t="s">
        <v>14</v>
      </c>
      <c r="C9" s="2" t="s">
        <v>120</v>
      </c>
      <c r="D9" s="10">
        <v>27600</v>
      </c>
      <c r="E9" s="11">
        <f t="shared" si="0"/>
        <v>839.04</v>
      </c>
      <c r="F9" s="11">
        <f t="shared" si="1"/>
        <v>792.12</v>
      </c>
      <c r="G9" s="11">
        <f t="shared" si="2"/>
        <v>690</v>
      </c>
      <c r="H9" s="11">
        <f t="shared" si="3"/>
        <v>2321.16</v>
      </c>
      <c r="I9" s="11">
        <f t="shared" si="4"/>
        <v>29921.16</v>
      </c>
    </row>
    <row r="10" spans="1:9">
      <c r="A10" s="2" t="s">
        <v>15</v>
      </c>
      <c r="B10" s="2" t="s">
        <v>16</v>
      </c>
      <c r="C10" s="2" t="s">
        <v>121</v>
      </c>
      <c r="D10" s="10">
        <v>32000</v>
      </c>
      <c r="E10" s="11">
        <f t="shared" si="0"/>
        <v>972.8</v>
      </c>
      <c r="F10" s="11">
        <f t="shared" si="1"/>
        <v>918.4</v>
      </c>
      <c r="G10" s="11">
        <f t="shared" si="2"/>
        <v>800</v>
      </c>
      <c r="H10" s="11">
        <f t="shared" si="3"/>
        <v>2691.2</v>
      </c>
      <c r="I10" s="11">
        <f t="shared" si="4"/>
        <v>34691.199999999997</v>
      </c>
    </row>
    <row r="11" spans="1:9">
      <c r="A11" s="2" t="s">
        <v>5</v>
      </c>
      <c r="B11" s="2" t="s">
        <v>17</v>
      </c>
      <c r="C11" s="2" t="s">
        <v>122</v>
      </c>
      <c r="D11" s="10">
        <v>29700</v>
      </c>
      <c r="E11" s="11">
        <f t="shared" si="0"/>
        <v>902.88</v>
      </c>
      <c r="F11" s="11">
        <f t="shared" si="1"/>
        <v>852.39</v>
      </c>
      <c r="G11" s="11">
        <f t="shared" si="2"/>
        <v>742.5</v>
      </c>
      <c r="H11" s="11">
        <f t="shared" si="3"/>
        <v>2497.77</v>
      </c>
      <c r="I11" s="11">
        <f t="shared" si="4"/>
        <v>32197.77</v>
      </c>
    </row>
    <row r="12" spans="1:9">
      <c r="A12" s="2" t="s">
        <v>6</v>
      </c>
      <c r="B12" s="2" t="s">
        <v>18</v>
      </c>
      <c r="C12" s="2" t="s">
        <v>123</v>
      </c>
      <c r="D12" s="10">
        <v>35000</v>
      </c>
      <c r="E12" s="11">
        <f t="shared" si="0"/>
        <v>1064</v>
      </c>
      <c r="F12" s="11">
        <f t="shared" si="1"/>
        <v>1004.5</v>
      </c>
      <c r="G12" s="11">
        <f t="shared" si="2"/>
        <v>875</v>
      </c>
      <c r="H12" s="11">
        <f t="shared" si="3"/>
        <v>2943.5</v>
      </c>
      <c r="I12" s="11">
        <f t="shared" si="4"/>
        <v>37943.5</v>
      </c>
    </row>
    <row r="13" spans="1:9">
      <c r="A13" s="2" t="s">
        <v>7</v>
      </c>
      <c r="B13" s="2" t="s">
        <v>19</v>
      </c>
      <c r="C13" s="2" t="s">
        <v>124</v>
      </c>
      <c r="D13" s="10">
        <v>18900</v>
      </c>
      <c r="E13" s="11">
        <f t="shared" si="0"/>
        <v>574.55999999999995</v>
      </c>
      <c r="F13" s="11">
        <f t="shared" si="1"/>
        <v>542.42999999999995</v>
      </c>
      <c r="G13" s="11">
        <f t="shared" si="2"/>
        <v>472.5</v>
      </c>
      <c r="H13" s="11">
        <f t="shared" si="3"/>
        <v>1589.4899999999998</v>
      </c>
      <c r="I13" s="11">
        <f t="shared" si="4"/>
        <v>20489.489999999998</v>
      </c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</sheetData>
  <mergeCells count="1">
    <mergeCell ref="A3:I3"/>
  </mergeCells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M26"/>
  <sheetViews>
    <sheetView topLeftCell="E1" workbookViewId="0">
      <selection activeCell="B11" sqref="B11"/>
    </sheetView>
  </sheetViews>
  <sheetFormatPr defaultColWidth="10.90625" defaultRowHeight="14.5"/>
  <cols>
    <col min="1" max="1" width="13.7265625" customWidth="1"/>
    <col min="2" max="2" width="21.26953125" customWidth="1"/>
    <col min="3" max="3" width="12.1796875" customWidth="1"/>
    <col min="4" max="4" width="13" customWidth="1"/>
    <col min="5" max="5" width="12.453125" customWidth="1"/>
    <col min="6" max="6" width="12.81640625" customWidth="1"/>
    <col min="7" max="7" width="14" customWidth="1"/>
    <col min="8" max="8" width="12.54296875" customWidth="1"/>
    <col min="9" max="9" width="11.81640625" bestFit="1" customWidth="1"/>
    <col min="11" max="11" width="18.08984375" customWidth="1"/>
    <col min="12" max="12" width="18.36328125" customWidth="1"/>
    <col min="13" max="13" width="13" customWidth="1"/>
  </cols>
  <sheetData>
    <row r="1" spans="1:13" ht="18.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8.5">
      <c r="A2" s="12"/>
      <c r="B2" s="12"/>
    </row>
    <row r="3" spans="1:13" ht="18.5">
      <c r="A3" s="12"/>
      <c r="B3" s="12"/>
    </row>
    <row r="4" spans="1:13" ht="23">
      <c r="A4" s="39" t="s">
        <v>134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">
      <c r="A6" s="19" t="s">
        <v>107</v>
      </c>
      <c r="B6" s="19" t="s">
        <v>125</v>
      </c>
      <c r="C6" s="19" t="s">
        <v>126</v>
      </c>
      <c r="D6" s="19" t="s">
        <v>127</v>
      </c>
      <c r="E6" s="19" t="s">
        <v>110</v>
      </c>
      <c r="F6" s="19" t="s">
        <v>130</v>
      </c>
      <c r="G6" s="19" t="s">
        <v>128</v>
      </c>
      <c r="H6" s="19" t="s">
        <v>129</v>
      </c>
      <c r="I6" s="19" t="s">
        <v>111</v>
      </c>
      <c r="J6" s="19" t="s">
        <v>131</v>
      </c>
      <c r="K6" s="19" t="s">
        <v>132</v>
      </c>
      <c r="L6" s="19" t="s">
        <v>115</v>
      </c>
      <c r="M6" s="19" t="s">
        <v>133</v>
      </c>
    </row>
    <row r="7" spans="1:13">
      <c r="A7" s="2" t="s">
        <v>20</v>
      </c>
      <c r="B7" s="2" t="s">
        <v>21</v>
      </c>
      <c r="C7" s="6">
        <v>60</v>
      </c>
      <c r="D7" s="13">
        <v>250</v>
      </c>
      <c r="E7" s="14">
        <f>C7*D7</f>
        <v>15000</v>
      </c>
      <c r="F7" s="6">
        <v>2</v>
      </c>
      <c r="G7" s="13">
        <f>D7*1.4</f>
        <v>350</v>
      </c>
      <c r="H7" s="13">
        <f>F7*G7</f>
        <v>700</v>
      </c>
      <c r="I7" s="13">
        <f>E7*3.04%</f>
        <v>456</v>
      </c>
      <c r="J7" s="13">
        <f>E7*2.87%</f>
        <v>430.5</v>
      </c>
      <c r="K7" s="13">
        <f>I7+J7</f>
        <v>886.5</v>
      </c>
      <c r="L7" s="13">
        <f>E7+K7</f>
        <v>15886.5</v>
      </c>
      <c r="M7" s="13">
        <f>F7+L7</f>
        <v>15888.5</v>
      </c>
    </row>
    <row r="8" spans="1:13">
      <c r="A8" s="2" t="s">
        <v>22</v>
      </c>
      <c r="B8" s="2" t="s">
        <v>23</v>
      </c>
      <c r="C8" s="6">
        <v>56</v>
      </c>
      <c r="D8" s="13">
        <v>200</v>
      </c>
      <c r="E8" s="14">
        <f t="shared" ref="E8:E16" si="0">C8*D8</f>
        <v>11200</v>
      </c>
      <c r="F8" s="6"/>
      <c r="G8" s="13">
        <f t="shared" ref="G8:G16" si="1">D8*1.4</f>
        <v>280</v>
      </c>
      <c r="H8" s="13">
        <f t="shared" ref="H8:H16" si="2">F8*G8</f>
        <v>0</v>
      </c>
      <c r="I8" s="13">
        <f t="shared" ref="I8:I16" si="3">E8*3.04%</f>
        <v>340.48</v>
      </c>
      <c r="J8" s="13">
        <f t="shared" ref="J8:J16" si="4">E8*2.87%</f>
        <v>321.44</v>
      </c>
      <c r="K8" s="13">
        <f t="shared" ref="K8:K16" si="5">I8+J8</f>
        <v>661.92000000000007</v>
      </c>
      <c r="L8" s="13">
        <f t="shared" ref="L8:L16" si="6">E8+K8</f>
        <v>11861.92</v>
      </c>
      <c r="M8" s="13">
        <f t="shared" ref="M8:M16" si="7">F8+L8</f>
        <v>11861.92</v>
      </c>
    </row>
    <row r="9" spans="1:13">
      <c r="A9" s="2" t="s">
        <v>24</v>
      </c>
      <c r="B9" s="2" t="s">
        <v>25</v>
      </c>
      <c r="C9" s="6">
        <v>100</v>
      </c>
      <c r="D9" s="13">
        <v>300</v>
      </c>
      <c r="E9" s="14">
        <f t="shared" si="0"/>
        <v>30000</v>
      </c>
      <c r="F9" s="6">
        <v>6</v>
      </c>
      <c r="G9" s="13">
        <f t="shared" si="1"/>
        <v>420</v>
      </c>
      <c r="H9" s="13">
        <f t="shared" si="2"/>
        <v>2520</v>
      </c>
      <c r="I9" s="13">
        <f t="shared" si="3"/>
        <v>912</v>
      </c>
      <c r="J9" s="13">
        <f t="shared" si="4"/>
        <v>861</v>
      </c>
      <c r="K9" s="13">
        <f t="shared" si="5"/>
        <v>1773</v>
      </c>
      <c r="L9" s="13">
        <f t="shared" si="6"/>
        <v>31773</v>
      </c>
      <c r="M9" s="13">
        <f t="shared" si="7"/>
        <v>31779</v>
      </c>
    </row>
    <row r="10" spans="1:13">
      <c r="A10" s="2" t="s">
        <v>26</v>
      </c>
      <c r="B10" s="2" t="s">
        <v>27</v>
      </c>
      <c r="C10" s="6">
        <v>30</v>
      </c>
      <c r="D10" s="13">
        <v>250</v>
      </c>
      <c r="E10" s="14">
        <f t="shared" si="0"/>
        <v>7500</v>
      </c>
      <c r="F10" s="6">
        <v>2</v>
      </c>
      <c r="G10" s="13">
        <f t="shared" si="1"/>
        <v>350</v>
      </c>
      <c r="H10" s="13">
        <f t="shared" si="2"/>
        <v>700</v>
      </c>
      <c r="I10" s="13">
        <f t="shared" si="3"/>
        <v>228</v>
      </c>
      <c r="J10" s="13">
        <f t="shared" si="4"/>
        <v>215.25</v>
      </c>
      <c r="K10" s="13">
        <f t="shared" si="5"/>
        <v>443.25</v>
      </c>
      <c r="L10" s="13">
        <f t="shared" si="6"/>
        <v>7943.25</v>
      </c>
      <c r="M10" s="13">
        <f t="shared" si="7"/>
        <v>7945.25</v>
      </c>
    </row>
    <row r="11" spans="1:13">
      <c r="A11" s="2" t="s">
        <v>28</v>
      </c>
      <c r="B11" s="2" t="s">
        <v>29</v>
      </c>
      <c r="C11" s="6">
        <v>90</v>
      </c>
      <c r="D11" s="13">
        <v>200</v>
      </c>
      <c r="E11" s="14">
        <f t="shared" si="0"/>
        <v>18000</v>
      </c>
      <c r="F11" s="6"/>
      <c r="G11" s="13">
        <f t="shared" si="1"/>
        <v>280</v>
      </c>
      <c r="H11" s="13">
        <f t="shared" si="2"/>
        <v>0</v>
      </c>
      <c r="I11" s="13">
        <f t="shared" si="3"/>
        <v>547.20000000000005</v>
      </c>
      <c r="J11" s="13">
        <f t="shared" si="4"/>
        <v>516.6</v>
      </c>
      <c r="K11" s="13">
        <f t="shared" si="5"/>
        <v>1063.8000000000002</v>
      </c>
      <c r="L11" s="13">
        <f t="shared" si="6"/>
        <v>19063.8</v>
      </c>
      <c r="M11" s="13">
        <f t="shared" si="7"/>
        <v>19063.8</v>
      </c>
    </row>
    <row r="12" spans="1:13">
      <c r="A12" s="2" t="s">
        <v>30</v>
      </c>
      <c r="B12" s="2" t="s">
        <v>31</v>
      </c>
      <c r="C12" s="6">
        <v>70</v>
      </c>
      <c r="D12" s="13">
        <v>300</v>
      </c>
      <c r="E12" s="14">
        <f t="shared" si="0"/>
        <v>21000</v>
      </c>
      <c r="F12" s="6">
        <v>1</v>
      </c>
      <c r="G12" s="13">
        <f t="shared" si="1"/>
        <v>420</v>
      </c>
      <c r="H12" s="13">
        <f t="shared" si="2"/>
        <v>420</v>
      </c>
      <c r="I12" s="13">
        <f t="shared" si="3"/>
        <v>638.4</v>
      </c>
      <c r="J12" s="13">
        <f t="shared" si="4"/>
        <v>602.70000000000005</v>
      </c>
      <c r="K12" s="13">
        <f t="shared" si="5"/>
        <v>1241.0999999999999</v>
      </c>
      <c r="L12" s="13">
        <f t="shared" si="6"/>
        <v>22241.1</v>
      </c>
      <c r="M12" s="13">
        <f t="shared" si="7"/>
        <v>22242.1</v>
      </c>
    </row>
    <row r="13" spans="1:13">
      <c r="A13" s="2" t="s">
        <v>32</v>
      </c>
      <c r="B13" s="2" t="s">
        <v>33</v>
      </c>
      <c r="C13" s="6">
        <v>59</v>
      </c>
      <c r="D13" s="13">
        <v>200</v>
      </c>
      <c r="E13" s="14">
        <f t="shared" si="0"/>
        <v>11800</v>
      </c>
      <c r="F13" s="6">
        <v>2</v>
      </c>
      <c r="G13" s="13">
        <f t="shared" si="1"/>
        <v>280</v>
      </c>
      <c r="H13" s="13">
        <f t="shared" si="2"/>
        <v>560</v>
      </c>
      <c r="I13" s="13">
        <f t="shared" si="3"/>
        <v>358.72</v>
      </c>
      <c r="J13" s="13">
        <f t="shared" si="4"/>
        <v>338.66</v>
      </c>
      <c r="K13" s="13">
        <f t="shared" si="5"/>
        <v>697.38000000000011</v>
      </c>
      <c r="L13" s="13">
        <f t="shared" si="6"/>
        <v>12497.380000000001</v>
      </c>
      <c r="M13" s="13">
        <f t="shared" si="7"/>
        <v>12499.380000000001</v>
      </c>
    </row>
    <row r="14" spans="1:13">
      <c r="A14" s="2" t="s">
        <v>34</v>
      </c>
      <c r="B14" s="2" t="s">
        <v>35</v>
      </c>
      <c r="C14" s="6">
        <v>77</v>
      </c>
      <c r="D14" s="13">
        <v>250</v>
      </c>
      <c r="E14" s="14">
        <f t="shared" si="0"/>
        <v>19250</v>
      </c>
      <c r="F14" s="6">
        <v>5</v>
      </c>
      <c r="G14" s="13">
        <f t="shared" si="1"/>
        <v>350</v>
      </c>
      <c r="H14" s="13">
        <f t="shared" si="2"/>
        <v>1750</v>
      </c>
      <c r="I14" s="13">
        <f t="shared" si="3"/>
        <v>585.20000000000005</v>
      </c>
      <c r="J14" s="13">
        <f t="shared" si="4"/>
        <v>552.47500000000002</v>
      </c>
      <c r="K14" s="13">
        <f t="shared" si="5"/>
        <v>1137.6750000000002</v>
      </c>
      <c r="L14" s="13">
        <f t="shared" si="6"/>
        <v>20387.674999999999</v>
      </c>
      <c r="M14" s="13">
        <f t="shared" si="7"/>
        <v>20392.674999999999</v>
      </c>
    </row>
    <row r="15" spans="1:13">
      <c r="A15" s="2" t="s">
        <v>36</v>
      </c>
      <c r="B15" s="2" t="s">
        <v>37</v>
      </c>
      <c r="C15" s="6">
        <v>88</v>
      </c>
      <c r="D15" s="13">
        <v>250</v>
      </c>
      <c r="E15" s="14">
        <f t="shared" si="0"/>
        <v>22000</v>
      </c>
      <c r="F15" s="6"/>
      <c r="G15" s="13">
        <f t="shared" si="1"/>
        <v>350</v>
      </c>
      <c r="H15" s="13">
        <f t="shared" si="2"/>
        <v>0</v>
      </c>
      <c r="I15" s="13">
        <f t="shared" si="3"/>
        <v>668.8</v>
      </c>
      <c r="J15" s="13">
        <f t="shared" si="4"/>
        <v>631.4</v>
      </c>
      <c r="K15" s="13">
        <f t="shared" si="5"/>
        <v>1300.1999999999998</v>
      </c>
      <c r="L15" s="13">
        <f t="shared" si="6"/>
        <v>23300.2</v>
      </c>
      <c r="M15" s="13">
        <f t="shared" si="7"/>
        <v>23300.2</v>
      </c>
    </row>
    <row r="16" spans="1:13">
      <c r="A16" s="2" t="s">
        <v>38</v>
      </c>
      <c r="B16" s="2" t="s">
        <v>39</v>
      </c>
      <c r="C16" s="6">
        <v>66</v>
      </c>
      <c r="D16" s="13">
        <v>200</v>
      </c>
      <c r="E16" s="14">
        <f t="shared" si="0"/>
        <v>13200</v>
      </c>
      <c r="F16" s="6"/>
      <c r="G16" s="13">
        <f t="shared" si="1"/>
        <v>280</v>
      </c>
      <c r="H16" s="13">
        <f t="shared" si="2"/>
        <v>0</v>
      </c>
      <c r="I16" s="13">
        <f t="shared" si="3"/>
        <v>401.28</v>
      </c>
      <c r="J16" s="13">
        <f t="shared" si="4"/>
        <v>378.84</v>
      </c>
      <c r="K16" s="13">
        <f t="shared" si="5"/>
        <v>780.11999999999989</v>
      </c>
      <c r="L16" s="13">
        <f t="shared" si="6"/>
        <v>13980.119999999999</v>
      </c>
      <c r="M16" s="13">
        <f t="shared" si="7"/>
        <v>13980.119999999999</v>
      </c>
    </row>
    <row r="17" spans="1:6">
      <c r="B17" t="s">
        <v>40</v>
      </c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 hidden="1">
      <c r="A21" s="1" t="s">
        <v>41</v>
      </c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</row>
    <row r="24" spans="1:6">
      <c r="A24" s="1"/>
    </row>
    <row r="25" spans="1:6">
      <c r="A25" s="1"/>
    </row>
    <row r="26" spans="1:6">
      <c r="A26" s="1"/>
    </row>
  </sheetData>
  <mergeCells count="2">
    <mergeCell ref="A1:M1"/>
    <mergeCell ref="A4:M4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Analysis</vt:lpstr>
      <vt:lpstr>Sales Report</vt:lpstr>
      <vt:lpstr>Invoice</vt:lpstr>
      <vt:lpstr>Payroll Summary</vt:lpstr>
      <vt:lpstr>Payroll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Loida Diaz</cp:lastModifiedBy>
  <dcterms:created xsi:type="dcterms:W3CDTF">2023-04-15T16:43:36Z</dcterms:created>
  <dcterms:modified xsi:type="dcterms:W3CDTF">2026-06-20T01:39:00Z</dcterms:modified>
</cp:coreProperties>
</file>